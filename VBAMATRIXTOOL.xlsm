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4ff2584929f4ca9/Models/Newcleus/Newcleus/STOOLS/"/>
    </mc:Choice>
  </mc:AlternateContent>
  <xr:revisionPtr revIDLastSave="688" documentId="13_ncr:1_{081F7C7A-817B-4FCE-A4EA-E128A2CA3897}" xr6:coauthVersionLast="47" xr6:coauthVersionMax="47" xr10:uidLastSave="{6C74CCDC-BD64-4663-B5A9-4E4C185D2AE2}"/>
  <bookViews>
    <workbookView xWindow="12852" yWindow="5652" windowWidth="30936" windowHeight="16896" activeTab="1" xr2:uid="{67237A27-435D-40F0-B69C-0C1FE7B4BC22}"/>
  </bookViews>
  <sheets>
    <sheet name="HowTo" sheetId="1" r:id="rId1"/>
    <sheet name="List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C140" i="1" a="1"/>
  <c r="C131" i="1" a="1"/>
  <c r="C127" i="1" a="1"/>
  <c r="C20" i="1" a="1"/>
  <c r="C101" i="1" a="1"/>
  <c r="C13" i="1" a="1"/>
  <c r="O95" i="1" a="1"/>
  <c r="N95" i="1" a="1"/>
  <c r="C29" i="1" a="1"/>
  <c r="G42" i="1" a="1"/>
  <c r="C42" i="1" a="1"/>
  <c r="C6" i="1" a="1"/>
  <c r="G37" i="1" a="1"/>
  <c r="I85" i="1" a="1"/>
  <c r="C104" i="1" a="1"/>
  <c r="C140" i="1" l="1"/>
  <c r="C131" i="1"/>
  <c r="C127" i="1"/>
  <c r="G42" i="1"/>
  <c r="G37" i="1"/>
  <c r="C42" i="1"/>
  <c r="O95" i="1"/>
  <c r="N95" i="1"/>
  <c r="C104" i="1"/>
  <c r="C101" i="1"/>
  <c r="C29" i="1"/>
  <c r="C20" i="1"/>
  <c r="I85" i="1"/>
  <c r="C13" i="1"/>
  <c r="C6" i="1"/>
  <c r="C149" i="1" a="1"/>
  <c r="C149" i="1" s="1"/>
  <c r="C121" i="1" a="1"/>
  <c r="C109" i="1" a="1"/>
  <c r="C47" i="1" a="1"/>
  <c r="C54" i="1" a="1"/>
  <c r="C61" i="1" a="1"/>
  <c r="C75" i="1" a="1"/>
  <c r="C121" i="1" l="1"/>
  <c r="C109" i="1"/>
  <c r="O85" i="1" a="1"/>
  <c r="O85" i="1" s="1"/>
  <c r="C75" i="1"/>
  <c r="C61" i="1"/>
  <c r="C54" i="1"/>
  <c r="C47" i="1"/>
  <c r="C116" i="1" a="1"/>
  <c r="C85" i="1" a="1"/>
  <c r="C68" i="1" a="1"/>
  <c r="C116" i="1" l="1"/>
  <c r="C68" i="1"/>
  <c r="C8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<sst xmlns="http://schemas.openxmlformats.org/spreadsheetml/2006/main" count="32" uniqueCount="32">
  <si>
    <t>3 by 4 Matrix with Zeros</t>
  </si>
  <si>
    <t>MATRIX Max for Row</t>
  </si>
  <si>
    <t>Matrix Max for Column</t>
  </si>
  <si>
    <t>MATRIX Min for Row</t>
  </si>
  <si>
    <t>Matrix Min for Column</t>
  </si>
  <si>
    <t>Given non-singular Matrix</t>
  </si>
  <si>
    <t>How to use them</t>
  </si>
  <si>
    <t>(1) identity matrix, matIdent(n), Ctrl + Shift + Return or Dynamic Array by Spill</t>
  </si>
  <si>
    <t>(2) m by n Zero Matrix, matZeros(m, n)</t>
  </si>
  <si>
    <t>4 by 3 Square matrix with ones</t>
  </si>
  <si>
    <t>(3) m by n  Matrix with Ones</t>
  </si>
  <si>
    <t>(4) m by m Diagonal Matrix</t>
  </si>
  <si>
    <t>4 x 4 diagonal matrix with 3</t>
  </si>
  <si>
    <t>(5) Row/Column Sum</t>
  </si>
  <si>
    <t xml:space="preserve">    Use the general formula with operation specified</t>
  </si>
  <si>
    <t>(7) Matrix Multiplication, MMULT (preferable), or matPROD here</t>
  </si>
  <si>
    <t>4 by 4 Identity matrix</t>
  </si>
  <si>
    <t>(6) Matrix Element by Element Operation</t>
  </si>
  <si>
    <t>elemPlus</t>
  </si>
  <si>
    <t>, the same as matPlus</t>
  </si>
  <si>
    <t>elemMinus, the same as matMinus</t>
  </si>
  <si>
    <t>elemMuliply</t>
  </si>
  <si>
    <t>elemDivide</t>
  </si>
  <si>
    <t>matPROD</t>
  </si>
  <si>
    <t>MMULT - faster</t>
  </si>
  <si>
    <t>How to use worksheet array</t>
  </si>
  <si>
    <t>(8) Matrix Row Max/Min</t>
  </si>
  <si>
    <t>(9) Resize Matrix, similar to MATLAB's reshape function</t>
  </si>
  <si>
    <t>(10) Prepend and Append Array</t>
  </si>
  <si>
    <t>(11) QR Decomposition (Q size the same as A and R is min(m, n))</t>
  </si>
  <si>
    <t>(12) Inverse Matrix - Worksheet Function</t>
  </si>
  <si>
    <t>Function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</si>
</sst>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right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221B3-3979-462F-A677-20790614EE56}">
  <sheetPr codeName="Sheet1"/>
  <dimension ref="B2:Q151"/>
  <sheetViews>
    <sheetView workbookViewId="0">
      <selection activeCell="F152" sqref="F152"/>
    </sheetView>
  </sheetViews>
  <sheetFormatPr defaultRowHeight="15" x14ac:dyDescent="0.25"/>
  <cols>
    <col min="3" max="3" width="11" bestFit="1" customWidth="1"/>
  </cols>
  <sheetData>
    <row r="2" spans="2:14" ht="18.75" x14ac:dyDescent="0.3">
      <c r="B2" s="2" t="s">
        <v>6</v>
      </c>
    </row>
    <row r="3" spans="2:14" ht="18.75" x14ac:dyDescent="0.3">
      <c r="B3" s="2"/>
    </row>
    <row r="4" spans="2:14" ht="18.75" x14ac:dyDescent="0.3">
      <c r="B4" s="2" t="s">
        <v>7</v>
      </c>
    </row>
    <row r="5" spans="2:14" ht="18.75" x14ac:dyDescent="0.3">
      <c r="B5" s="2"/>
      <c r="C5" t="s">
        <v>16</v>
      </c>
    </row>
    <row r="6" spans="2:14" x14ac:dyDescent="0.25">
      <c r="C6" cm="1">
        <f t="array" ref="C6:F9">matIDENT(4)</f>
        <v>1</v>
      </c>
      <c r="D6">
        <v>0</v>
      </c>
      <c r="E6">
        <v>0</v>
      </c>
      <c r="F6">
        <v>0</v>
      </c>
      <c r="L6" cm="1">
        <f t="array" ref="L6:N9">{1,1,2;1,0,-2;-1,2,3;2,4,3}</f>
        <v>1</v>
      </c>
      <c r="M6">
        <v>1</v>
      </c>
      <c r="N6">
        <v>2</v>
      </c>
    </row>
    <row r="7" spans="2:14" x14ac:dyDescent="0.25">
      <c r="C7">
        <v>0</v>
      </c>
      <c r="D7">
        <v>1</v>
      </c>
      <c r="E7">
        <v>0</v>
      </c>
      <c r="F7">
        <v>0</v>
      </c>
      <c r="L7">
        <v>1</v>
      </c>
      <c r="M7">
        <v>0</v>
      </c>
      <c r="N7">
        <v>-2</v>
      </c>
    </row>
    <row r="8" spans="2:14" x14ac:dyDescent="0.25">
      <c r="C8">
        <v>0</v>
      </c>
      <c r="D8">
        <v>0</v>
      </c>
      <c r="E8">
        <v>1</v>
      </c>
      <c r="F8">
        <v>0</v>
      </c>
      <c r="L8">
        <v>-1</v>
      </c>
      <c r="M8">
        <v>2</v>
      </c>
      <c r="N8">
        <v>3</v>
      </c>
    </row>
    <row r="9" spans="2:14" x14ac:dyDescent="0.25">
      <c r="C9">
        <v>0</v>
      </c>
      <c r="D9">
        <v>0</v>
      </c>
      <c r="E9">
        <v>0</v>
      </c>
      <c r="F9">
        <v>1</v>
      </c>
      <c r="L9">
        <v>2</v>
      </c>
      <c r="M9">
        <v>4</v>
      </c>
      <c r="N9">
        <v>3</v>
      </c>
    </row>
    <row r="11" spans="2:14" ht="18.75" x14ac:dyDescent="0.3">
      <c r="B11" s="2" t="s">
        <v>8</v>
      </c>
    </row>
    <row r="12" spans="2:14" x14ac:dyDescent="0.25">
      <c r="C12" t="s">
        <v>0</v>
      </c>
    </row>
    <row r="13" spans="2:14" x14ac:dyDescent="0.25">
      <c r="C13" cm="1">
        <f t="array" ref="C13:F16">matZEROS(4)</f>
        <v>0</v>
      </c>
      <c r="D13">
        <v>0</v>
      </c>
      <c r="E13">
        <v>0</v>
      </c>
      <c r="F13">
        <v>0</v>
      </c>
    </row>
    <row r="14" spans="2:14" x14ac:dyDescent="0.25">
      <c r="C14">
        <v>0</v>
      </c>
      <c r="D14">
        <v>0</v>
      </c>
      <c r="E14">
        <v>0</v>
      </c>
      <c r="F14">
        <v>0</v>
      </c>
    </row>
    <row r="15" spans="2:14" x14ac:dyDescent="0.25">
      <c r="C15">
        <v>0</v>
      </c>
      <c r="D15">
        <v>0</v>
      </c>
      <c r="E15">
        <v>0</v>
      </c>
      <c r="F15">
        <v>0</v>
      </c>
    </row>
    <row r="16" spans="2:14" x14ac:dyDescent="0.25">
      <c r="C16">
        <v>0</v>
      </c>
      <c r="D16">
        <v>0</v>
      </c>
      <c r="E16">
        <v>0</v>
      </c>
      <c r="F16">
        <v>0</v>
      </c>
    </row>
    <row r="18" spans="2:6" ht="18.75" x14ac:dyDescent="0.3">
      <c r="B18" s="2" t="s">
        <v>10</v>
      </c>
    </row>
    <row r="19" spans="2:6" x14ac:dyDescent="0.25">
      <c r="C19" t="s">
        <v>9</v>
      </c>
    </row>
    <row r="20" spans="2:6" x14ac:dyDescent="0.25">
      <c r="C20" cm="1">
        <f t="array" ref="C20:E23">matONES(4,3)</f>
        <v>1</v>
      </c>
      <c r="D20">
        <v>1</v>
      </c>
      <c r="E20">
        <v>1</v>
      </c>
    </row>
    <row r="21" spans="2:6" x14ac:dyDescent="0.25">
      <c r="C21">
        <v>1</v>
      </c>
      <c r="D21">
        <v>1</v>
      </c>
      <c r="E21">
        <v>1</v>
      </c>
    </row>
    <row r="22" spans="2:6" x14ac:dyDescent="0.25">
      <c r="C22">
        <v>1</v>
      </c>
      <c r="D22">
        <v>1</v>
      </c>
      <c r="E22">
        <v>1</v>
      </c>
    </row>
    <row r="23" spans="2:6" x14ac:dyDescent="0.25">
      <c r="C23">
        <v>1</v>
      </c>
      <c r="D23">
        <v>1</v>
      </c>
      <c r="E23">
        <v>1</v>
      </c>
    </row>
    <row r="27" spans="2:6" ht="18.75" x14ac:dyDescent="0.3">
      <c r="B27" s="2" t="s">
        <v>11</v>
      </c>
    </row>
    <row r="28" spans="2:6" x14ac:dyDescent="0.25">
      <c r="C28" t="s">
        <v>12</v>
      </c>
    </row>
    <row r="29" spans="2:6" x14ac:dyDescent="0.25">
      <c r="C29" cm="1">
        <f t="array" ref="C29:F32">matDiag(4, , 3)</f>
        <v>3</v>
      </c>
      <c r="D29">
        <v>0</v>
      </c>
      <c r="E29">
        <v>0</v>
      </c>
      <c r="F29">
        <v>0</v>
      </c>
    </row>
    <row r="30" spans="2:6" x14ac:dyDescent="0.25">
      <c r="C30">
        <v>0</v>
      </c>
      <c r="D30">
        <v>3</v>
      </c>
      <c r="E30">
        <v>0</v>
      </c>
      <c r="F30">
        <v>0</v>
      </c>
    </row>
    <row r="31" spans="2:6" x14ac:dyDescent="0.25">
      <c r="C31">
        <v>0</v>
      </c>
      <c r="D31">
        <v>0</v>
      </c>
      <c r="E31">
        <v>3</v>
      </c>
      <c r="F31">
        <v>0</v>
      </c>
    </row>
    <row r="32" spans="2:6" x14ac:dyDescent="0.25">
      <c r="C32">
        <v>0</v>
      </c>
      <c r="D32">
        <v>0</v>
      </c>
      <c r="E32">
        <v>0</v>
      </c>
      <c r="F32">
        <v>3</v>
      </c>
    </row>
    <row r="35" spans="2:7" ht="18.75" x14ac:dyDescent="0.3">
      <c r="B35" s="2" t="s">
        <v>13</v>
      </c>
    </row>
    <row r="36" spans="2:7" x14ac:dyDescent="0.25">
      <c r="C36" t="s">
        <v>5</v>
      </c>
    </row>
    <row r="37" spans="2:7" x14ac:dyDescent="0.25">
      <c r="C37">
        <v>1</v>
      </c>
      <c r="D37">
        <v>1</v>
      </c>
      <c r="E37">
        <v>2</v>
      </c>
      <c r="G37" s="3" cm="1">
        <f t="array" ref="G37:G40">matSUM(C37:E40, "row")</f>
        <v>4</v>
      </c>
    </row>
    <row r="38" spans="2:7" x14ac:dyDescent="0.25">
      <c r="C38">
        <v>1</v>
      </c>
      <c r="D38">
        <v>0</v>
      </c>
      <c r="E38">
        <v>-2</v>
      </c>
      <c r="G38" s="3">
        <v>-1</v>
      </c>
    </row>
    <row r="39" spans="2:7" x14ac:dyDescent="0.25">
      <c r="C39">
        <v>-1</v>
      </c>
      <c r="D39">
        <v>2</v>
      </c>
      <c r="E39">
        <v>3</v>
      </c>
      <c r="G39" s="3">
        <v>4</v>
      </c>
    </row>
    <row r="40" spans="2:7" x14ac:dyDescent="0.25">
      <c r="C40">
        <v>2</v>
      </c>
      <c r="D40">
        <v>4</v>
      </c>
      <c r="E40">
        <v>3</v>
      </c>
      <c r="G40" s="3">
        <v>9</v>
      </c>
    </row>
    <row r="42" spans="2:7" x14ac:dyDescent="0.25">
      <c r="C42" s="3" cm="1">
        <f t="array" ref="C42:E42">matSUM(C37:E40, "Column")</f>
        <v>3</v>
      </c>
      <c r="D42" s="3">
        <v>7</v>
      </c>
      <c r="E42" s="3">
        <v>6</v>
      </c>
      <c r="G42" s="4" cm="1">
        <f t="array" ref="G42">matSUM(C37:E40, "All")</f>
        <v>16</v>
      </c>
    </row>
    <row r="45" spans="2:7" ht="18.75" x14ac:dyDescent="0.3">
      <c r="B45" s="2" t="s">
        <v>17</v>
      </c>
    </row>
    <row r="46" spans="2:7" x14ac:dyDescent="0.25">
      <c r="B46" s="4" t="s">
        <v>14</v>
      </c>
    </row>
    <row r="47" spans="2:7" x14ac:dyDescent="0.25">
      <c r="C47" cm="1">
        <f t="array" ref="C47:E50">elemOp(C37:E40,_xlfn.ANCHORARRAY( C20), "+")</f>
        <v>2</v>
      </c>
      <c r="D47">
        <v>2</v>
      </c>
      <c r="E47">
        <v>3</v>
      </c>
    </row>
    <row r="48" spans="2:7" x14ac:dyDescent="0.25">
      <c r="C48">
        <v>2</v>
      </c>
      <c r="D48">
        <v>1</v>
      </c>
      <c r="E48">
        <v>-1</v>
      </c>
    </row>
    <row r="49" spans="3:5" x14ac:dyDescent="0.25">
      <c r="C49">
        <v>0</v>
      </c>
      <c r="D49">
        <v>3</v>
      </c>
      <c r="E49">
        <v>4</v>
      </c>
    </row>
    <row r="50" spans="3:5" x14ac:dyDescent="0.25">
      <c r="C50">
        <v>3</v>
      </c>
      <c r="D50">
        <v>5</v>
      </c>
      <c r="E50">
        <v>4</v>
      </c>
    </row>
    <row r="53" spans="3:5" x14ac:dyDescent="0.25">
      <c r="C53" t="s">
        <v>18</v>
      </c>
      <c r="D53" t="s">
        <v>19</v>
      </c>
    </row>
    <row r="54" spans="3:5" x14ac:dyDescent="0.25">
      <c r="C54" cm="1">
        <f t="array" ref="C54:E57">elemPlus(C37:E40,_xlfn.ANCHORARRAY( C20))</f>
        <v>2</v>
      </c>
      <c r="D54">
        <v>2</v>
      </c>
      <c r="E54">
        <v>3</v>
      </c>
    </row>
    <row r="55" spans="3:5" x14ac:dyDescent="0.25">
      <c r="C55">
        <v>2</v>
      </c>
      <c r="D55">
        <v>1</v>
      </c>
      <c r="E55">
        <v>-1</v>
      </c>
    </row>
    <row r="56" spans="3:5" x14ac:dyDescent="0.25">
      <c r="C56">
        <v>0</v>
      </c>
      <c r="D56">
        <v>3</v>
      </c>
      <c r="E56">
        <v>4</v>
      </c>
    </row>
    <row r="57" spans="3:5" x14ac:dyDescent="0.25">
      <c r="C57">
        <v>3</v>
      </c>
      <c r="D57">
        <v>5</v>
      </c>
      <c r="E57">
        <v>4</v>
      </c>
    </row>
    <row r="60" spans="3:5" x14ac:dyDescent="0.25">
      <c r="C60" t="s">
        <v>20</v>
      </c>
    </row>
    <row r="61" spans="3:5" x14ac:dyDescent="0.25">
      <c r="C61" cm="1">
        <f t="array" ref="C61:E64">elemMinus(C37:E40,_xlfn.ANCHORARRAY( C20))</f>
        <v>0</v>
      </c>
      <c r="D61">
        <v>0</v>
      </c>
      <c r="E61">
        <v>1</v>
      </c>
    </row>
    <row r="62" spans="3:5" x14ac:dyDescent="0.25">
      <c r="C62">
        <v>0</v>
      </c>
      <c r="D62">
        <v>-1</v>
      </c>
      <c r="E62">
        <v>-3</v>
      </c>
    </row>
    <row r="63" spans="3:5" x14ac:dyDescent="0.25">
      <c r="C63">
        <v>-2</v>
      </c>
      <c r="D63">
        <v>1</v>
      </c>
      <c r="E63">
        <v>2</v>
      </c>
    </row>
    <row r="64" spans="3:5" x14ac:dyDescent="0.25">
      <c r="C64">
        <v>1</v>
      </c>
      <c r="D64">
        <v>3</v>
      </c>
      <c r="E64">
        <v>2</v>
      </c>
    </row>
    <row r="67" spans="3:5" x14ac:dyDescent="0.25">
      <c r="C67" t="s">
        <v>21</v>
      </c>
    </row>
    <row r="68" spans="3:5" x14ac:dyDescent="0.25">
      <c r="C68" cm="1">
        <f t="array" ref="C68:E71">elemMultiply(C37:E40,_xlfn.ANCHORARRAY( C20))</f>
        <v>1</v>
      </c>
      <c r="D68">
        <v>1</v>
      </c>
      <c r="E68">
        <v>2</v>
      </c>
    </row>
    <row r="69" spans="3:5" x14ac:dyDescent="0.25">
      <c r="C69">
        <v>1</v>
      </c>
      <c r="D69">
        <v>0</v>
      </c>
      <c r="E69">
        <v>-2</v>
      </c>
    </row>
    <row r="70" spans="3:5" x14ac:dyDescent="0.25">
      <c r="C70">
        <v>-1</v>
      </c>
      <c r="D70">
        <v>2</v>
      </c>
      <c r="E70">
        <v>3</v>
      </c>
    </row>
    <row r="71" spans="3:5" x14ac:dyDescent="0.25">
      <c r="C71">
        <v>2</v>
      </c>
      <c r="D71">
        <v>4</v>
      </c>
      <c r="E71">
        <v>3</v>
      </c>
    </row>
    <row r="74" spans="3:5" x14ac:dyDescent="0.25">
      <c r="C74" t="s">
        <v>22</v>
      </c>
    </row>
    <row r="75" spans="3:5" x14ac:dyDescent="0.25">
      <c r="C75" cm="1">
        <f t="array" ref="C75:E78">elemDivide(C37:E40,_xlfn.ANCHORARRAY( C20))</f>
        <v>1</v>
      </c>
      <c r="D75">
        <v>1</v>
      </c>
      <c r="E75">
        <v>2</v>
      </c>
    </row>
    <row r="76" spans="3:5" x14ac:dyDescent="0.25">
      <c r="C76">
        <v>1</v>
      </c>
      <c r="D76">
        <v>0</v>
      </c>
      <c r="E76">
        <v>-2</v>
      </c>
    </row>
    <row r="77" spans="3:5" x14ac:dyDescent="0.25">
      <c r="C77">
        <v>-1</v>
      </c>
      <c r="D77">
        <v>2</v>
      </c>
      <c r="E77">
        <v>3</v>
      </c>
    </row>
    <row r="78" spans="3:5" x14ac:dyDescent="0.25">
      <c r="C78">
        <v>2</v>
      </c>
      <c r="D78">
        <v>4</v>
      </c>
      <c r="E78">
        <v>3</v>
      </c>
    </row>
    <row r="83" spans="2:17" ht="18.75" x14ac:dyDescent="0.3">
      <c r="B83" s="2" t="s">
        <v>15</v>
      </c>
    </row>
    <row r="84" spans="2:17" x14ac:dyDescent="0.25">
      <c r="C84" t="s">
        <v>23</v>
      </c>
      <c r="I84" t="s">
        <v>25</v>
      </c>
      <c r="O84" t="s">
        <v>24</v>
      </c>
    </row>
    <row r="85" spans="2:17" x14ac:dyDescent="0.25">
      <c r="C85" cm="1">
        <f t="array" ref="C85:E88">matPROD(_xlfn.ANCHORARRAY(C6), C37:E40)</f>
        <v>1</v>
      </c>
      <c r="D85">
        <v>1</v>
      </c>
      <c r="E85">
        <v>2</v>
      </c>
      <c r="I85" s="1" cm="1">
        <f t="array" ref="I85:K88">matPROD({1,1,2;1,0,-2;-1,2,3;2,4,3}, {1,0,0;0,1,0;0,0,1})</f>
        <v>1</v>
      </c>
      <c r="J85">
        <v>1</v>
      </c>
      <c r="K85">
        <v>2</v>
      </c>
      <c r="O85" cm="1">
        <f t="array" ref="O85:Q88">MMULT(_xlfn.ANCHORARRAY(C6), C37:E40)</f>
        <v>1</v>
      </c>
      <c r="P85">
        <v>1</v>
      </c>
      <c r="Q85">
        <v>2</v>
      </c>
    </row>
    <row r="86" spans="2:17" x14ac:dyDescent="0.25">
      <c r="C86">
        <v>1</v>
      </c>
      <c r="D86">
        <v>0</v>
      </c>
      <c r="E86">
        <v>-2</v>
      </c>
      <c r="I86">
        <v>1</v>
      </c>
      <c r="J86">
        <v>0</v>
      </c>
      <c r="K86">
        <v>-2</v>
      </c>
      <c r="O86">
        <v>1</v>
      </c>
      <c r="P86">
        <v>0</v>
      </c>
      <c r="Q86">
        <v>-2</v>
      </c>
    </row>
    <row r="87" spans="2:17" x14ac:dyDescent="0.25">
      <c r="C87">
        <v>-1</v>
      </c>
      <c r="D87">
        <v>2</v>
      </c>
      <c r="E87">
        <v>3</v>
      </c>
      <c r="I87">
        <v>-1</v>
      </c>
      <c r="J87">
        <v>2</v>
      </c>
      <c r="K87">
        <v>3</v>
      </c>
      <c r="O87">
        <v>-1</v>
      </c>
      <c r="P87">
        <v>2</v>
      </c>
      <c r="Q87">
        <v>3</v>
      </c>
    </row>
    <row r="88" spans="2:17" x14ac:dyDescent="0.25">
      <c r="C88">
        <v>2</v>
      </c>
      <c r="D88">
        <v>4</v>
      </c>
      <c r="E88">
        <v>3</v>
      </c>
      <c r="I88">
        <v>2</v>
      </c>
      <c r="J88">
        <v>4</v>
      </c>
      <c r="K88">
        <v>3</v>
      </c>
      <c r="O88">
        <v>2</v>
      </c>
      <c r="P88">
        <v>4</v>
      </c>
      <c r="Q88">
        <v>3</v>
      </c>
    </row>
    <row r="92" spans="2:17" ht="18.75" x14ac:dyDescent="0.3">
      <c r="B92" s="2" t="s">
        <v>26</v>
      </c>
    </row>
    <row r="94" spans="2:17" x14ac:dyDescent="0.25">
      <c r="C94">
        <v>12</v>
      </c>
      <c r="D94">
        <v>23</v>
      </c>
      <c r="E94">
        <v>2</v>
      </c>
      <c r="F94">
        <v>34</v>
      </c>
      <c r="G94">
        <v>23</v>
      </c>
      <c r="H94">
        <v>15</v>
      </c>
      <c r="I94">
        <v>6</v>
      </c>
      <c r="J94">
        <v>10</v>
      </c>
      <c r="K94">
        <v>17</v>
      </c>
      <c r="L94">
        <v>15</v>
      </c>
      <c r="N94" t="s">
        <v>3</v>
      </c>
      <c r="O94" t="s">
        <v>1</v>
      </c>
    </row>
    <row r="95" spans="2:17" x14ac:dyDescent="0.25">
      <c r="C95">
        <v>1</v>
      </c>
      <c r="D95">
        <v>4</v>
      </c>
      <c r="E95">
        <v>3</v>
      </c>
      <c r="F95">
        <v>11</v>
      </c>
      <c r="G95">
        <v>5</v>
      </c>
      <c r="H95">
        <v>6</v>
      </c>
      <c r="I95">
        <v>7</v>
      </c>
      <c r="J95">
        <v>8</v>
      </c>
      <c r="K95">
        <v>9</v>
      </c>
      <c r="L95">
        <v>10</v>
      </c>
      <c r="N95" s="4" cm="1">
        <f t="array" ref="N95:N96">matMIN(C95:L96, "Row")</f>
        <v>1</v>
      </c>
      <c r="O95" s="4" cm="1">
        <f t="array" ref="O95:O96">matMAX(C95:L96, "Row")</f>
        <v>11</v>
      </c>
    </row>
    <row r="96" spans="2:17" x14ac:dyDescent="0.25">
      <c r="C96">
        <v>7</v>
      </c>
      <c r="D96">
        <v>2</v>
      </c>
      <c r="E96">
        <v>14</v>
      </c>
      <c r="F96">
        <v>10</v>
      </c>
      <c r="G96">
        <v>3</v>
      </c>
      <c r="H96">
        <v>13</v>
      </c>
      <c r="I96">
        <v>9</v>
      </c>
      <c r="J96">
        <v>18</v>
      </c>
      <c r="K96">
        <v>19</v>
      </c>
      <c r="L96">
        <v>16</v>
      </c>
      <c r="N96" s="4">
        <v>2</v>
      </c>
      <c r="O96" s="4">
        <v>19</v>
      </c>
    </row>
    <row r="99" spans="2:12" x14ac:dyDescent="0.25">
      <c r="C99">
        <v>1</v>
      </c>
      <c r="D99">
        <v>2</v>
      </c>
      <c r="E99">
        <v>3</v>
      </c>
      <c r="F99">
        <v>4</v>
      </c>
      <c r="G99">
        <v>5</v>
      </c>
      <c r="H99">
        <v>6</v>
      </c>
      <c r="I99">
        <v>7</v>
      </c>
      <c r="J99">
        <v>8</v>
      </c>
      <c r="K99">
        <v>9</v>
      </c>
      <c r="L99">
        <v>10</v>
      </c>
    </row>
    <row r="100" spans="2:12" x14ac:dyDescent="0.25">
      <c r="C100" t="s">
        <v>2</v>
      </c>
    </row>
    <row r="101" spans="2:12" x14ac:dyDescent="0.25">
      <c r="C101" s="4" cm="1">
        <f t="array" ref="C101:L101">matMAX(C94:L96, "Column")</f>
        <v>12</v>
      </c>
      <c r="D101" s="4">
        <v>23</v>
      </c>
      <c r="E101" s="4">
        <v>14</v>
      </c>
      <c r="F101" s="4">
        <v>34</v>
      </c>
      <c r="G101" s="4">
        <v>23</v>
      </c>
      <c r="H101" s="4">
        <v>15</v>
      </c>
      <c r="I101" s="4">
        <v>9</v>
      </c>
      <c r="J101" s="4">
        <v>18</v>
      </c>
      <c r="K101" s="4">
        <v>19</v>
      </c>
      <c r="L101" s="4">
        <v>16</v>
      </c>
    </row>
    <row r="103" spans="2:12" x14ac:dyDescent="0.25">
      <c r="C103" t="s">
        <v>4</v>
      </c>
    </row>
    <row r="104" spans="2:12" x14ac:dyDescent="0.25">
      <c r="C104" s="4" cm="1">
        <f t="array" ref="C104:L104">matMIN(C95:L96, "Column")</f>
        <v>1</v>
      </c>
      <c r="D104" s="4">
        <v>2</v>
      </c>
      <c r="E104" s="4">
        <v>3</v>
      </c>
      <c r="F104" s="4">
        <v>10</v>
      </c>
      <c r="G104" s="4">
        <v>3</v>
      </c>
      <c r="H104" s="4">
        <v>6</v>
      </c>
      <c r="I104" s="4">
        <v>7</v>
      </c>
      <c r="J104" s="4">
        <v>8</v>
      </c>
      <c r="K104" s="4">
        <v>9</v>
      </c>
      <c r="L104" s="4">
        <v>10</v>
      </c>
    </row>
    <row r="107" spans="2:12" ht="18.75" x14ac:dyDescent="0.3">
      <c r="B107" s="2" t="s">
        <v>27</v>
      </c>
    </row>
    <row r="109" spans="2:12" x14ac:dyDescent="0.25">
      <c r="C109" cm="1">
        <f t="array" ref="C109:G110">matResize(_xlfn.ANCHORARRAY(C104), 2, 5)</f>
        <v>1</v>
      </c>
      <c r="D109">
        <v>3</v>
      </c>
      <c r="E109">
        <v>3</v>
      </c>
      <c r="F109">
        <v>7</v>
      </c>
      <c r="G109">
        <v>9</v>
      </c>
    </row>
    <row r="110" spans="2:12" x14ac:dyDescent="0.25">
      <c r="C110">
        <v>2</v>
      </c>
      <c r="D110">
        <v>10</v>
      </c>
      <c r="E110">
        <v>6</v>
      </c>
      <c r="F110">
        <v>8</v>
      </c>
      <c r="G110">
        <v>10</v>
      </c>
    </row>
    <row r="114" spans="2:12" ht="18.75" x14ac:dyDescent="0.3">
      <c r="B114" s="2" t="s">
        <v>28</v>
      </c>
    </row>
    <row r="116" spans="2:12" x14ac:dyDescent="0.25">
      <c r="C116" cm="1">
        <f t="array" ref="C116:I117">appendArray(_xlfn.ANCHORARRAY(C109), N95:O96, "col")</f>
        <v>1</v>
      </c>
      <c r="D116">
        <v>3</v>
      </c>
      <c r="E116">
        <v>3</v>
      </c>
      <c r="F116">
        <v>7</v>
      </c>
      <c r="G116">
        <v>9</v>
      </c>
      <c r="H116">
        <v>1</v>
      </c>
      <c r="I116">
        <v>11</v>
      </c>
    </row>
    <row r="117" spans="2:12" x14ac:dyDescent="0.25">
      <c r="C117">
        <v>2</v>
      </c>
      <c r="D117">
        <v>10</v>
      </c>
      <c r="E117">
        <v>6</v>
      </c>
      <c r="F117">
        <v>8</v>
      </c>
      <c r="G117">
        <v>10</v>
      </c>
      <c r="H117">
        <v>2</v>
      </c>
      <c r="I117">
        <v>19</v>
      </c>
    </row>
    <row r="121" spans="2:12" x14ac:dyDescent="0.25">
      <c r="C121" cm="1">
        <f t="array" ref="C121:L124">appendArray(C94:L96,_xlfn.ANCHORARRAY( C101), "row")</f>
        <v>12</v>
      </c>
      <c r="D121">
        <v>23</v>
      </c>
      <c r="E121">
        <v>2</v>
      </c>
      <c r="F121">
        <v>34</v>
      </c>
      <c r="G121">
        <v>23</v>
      </c>
      <c r="H121">
        <v>15</v>
      </c>
      <c r="I121">
        <v>6</v>
      </c>
      <c r="J121">
        <v>10</v>
      </c>
      <c r="K121">
        <v>17</v>
      </c>
      <c r="L121">
        <v>15</v>
      </c>
    </row>
    <row r="122" spans="2:12" x14ac:dyDescent="0.25">
      <c r="C122">
        <v>1</v>
      </c>
      <c r="D122">
        <v>4</v>
      </c>
      <c r="E122">
        <v>3</v>
      </c>
      <c r="F122">
        <v>11</v>
      </c>
      <c r="G122">
        <v>5</v>
      </c>
      <c r="H122">
        <v>6</v>
      </c>
      <c r="I122">
        <v>7</v>
      </c>
      <c r="J122">
        <v>8</v>
      </c>
      <c r="K122">
        <v>9</v>
      </c>
      <c r="L122">
        <v>10</v>
      </c>
    </row>
    <row r="123" spans="2:12" x14ac:dyDescent="0.25">
      <c r="C123">
        <v>7</v>
      </c>
      <c r="D123">
        <v>2</v>
      </c>
      <c r="E123">
        <v>14</v>
      </c>
      <c r="F123">
        <v>10</v>
      </c>
      <c r="G123">
        <v>3</v>
      </c>
      <c r="H123">
        <v>13</v>
      </c>
      <c r="I123">
        <v>9</v>
      </c>
      <c r="J123">
        <v>18</v>
      </c>
      <c r="K123">
        <v>19</v>
      </c>
      <c r="L123">
        <v>16</v>
      </c>
    </row>
    <row r="124" spans="2:12" x14ac:dyDescent="0.25">
      <c r="C124">
        <v>12</v>
      </c>
      <c r="D124">
        <v>23</v>
      </c>
      <c r="E124">
        <v>14</v>
      </c>
      <c r="F124">
        <v>34</v>
      </c>
      <c r="G124">
        <v>23</v>
      </c>
      <c r="H124">
        <v>15</v>
      </c>
      <c r="I124">
        <v>9</v>
      </c>
      <c r="J124">
        <v>18</v>
      </c>
      <c r="K124">
        <v>19</v>
      </c>
      <c r="L124">
        <v>16</v>
      </c>
    </row>
    <row r="127" spans="2:12" x14ac:dyDescent="0.25">
      <c r="C127" cm="1">
        <f t="array" ref="C127:I128">prependArray(N95:O96,_xlfn.ANCHORARRAY( C109), "col")</f>
        <v>1</v>
      </c>
      <c r="D127">
        <v>3</v>
      </c>
      <c r="E127">
        <v>3</v>
      </c>
      <c r="F127">
        <v>7</v>
      </c>
      <c r="G127">
        <v>9</v>
      </c>
      <c r="H127">
        <v>1</v>
      </c>
      <c r="I127">
        <v>11</v>
      </c>
    </row>
    <row r="128" spans="2:12" x14ac:dyDescent="0.25">
      <c r="C128">
        <v>2</v>
      </c>
      <c r="D128">
        <v>10</v>
      </c>
      <c r="E128">
        <v>6</v>
      </c>
      <c r="F128">
        <v>8</v>
      </c>
      <c r="G128">
        <v>10</v>
      </c>
      <c r="H128">
        <v>2</v>
      </c>
      <c r="I128">
        <v>19</v>
      </c>
    </row>
    <row r="131" spans="2:8" x14ac:dyDescent="0.25">
      <c r="C131" cm="1">
        <f t="array" ref="C131:G134">prependArray(N95:O96,_xlfn.ANCHORARRAY( C109), "row")</f>
        <v>1</v>
      </c>
      <c r="D131">
        <v>3</v>
      </c>
      <c r="E131">
        <v>3</v>
      </c>
      <c r="F131">
        <v>7</v>
      </c>
      <c r="G131">
        <v>9</v>
      </c>
    </row>
    <row r="132" spans="2:8" x14ac:dyDescent="0.25">
      <c r="C132">
        <v>2</v>
      </c>
      <c r="D132">
        <v>10</v>
      </c>
      <c r="E132">
        <v>6</v>
      </c>
      <c r="F132">
        <v>8</v>
      </c>
      <c r="G132">
        <v>10</v>
      </c>
    </row>
    <row r="133" spans="2:8" x14ac:dyDescent="0.25">
      <c r="C133">
        <v>1</v>
      </c>
      <c r="D133">
        <v>11</v>
      </c>
      <c r="E133">
        <v>0</v>
      </c>
      <c r="F133">
        <v>0</v>
      </c>
      <c r="G133">
        <v>0</v>
      </c>
    </row>
    <row r="134" spans="2:8" x14ac:dyDescent="0.25">
      <c r="C134">
        <v>2</v>
      </c>
      <c r="D134">
        <v>19</v>
      </c>
      <c r="E134">
        <v>0</v>
      </c>
      <c r="F134">
        <v>0</v>
      </c>
      <c r="G134">
        <v>0</v>
      </c>
    </row>
    <row r="138" spans="2:8" ht="18.75" x14ac:dyDescent="0.3">
      <c r="B138" s="2" t="s">
        <v>29</v>
      </c>
    </row>
    <row r="140" spans="2:8" x14ac:dyDescent="0.25">
      <c r="C140" cm="1">
        <f t="array" ref="C140:H143">sQRDECOMP(C37:E40, "a", 2)</f>
        <v>2.6457513110645907</v>
      </c>
      <c r="D140">
        <v>2.6457513110645903</v>
      </c>
      <c r="E140">
        <v>1.1338934190276815</v>
      </c>
      <c r="F140">
        <v>0.3779644730092272</v>
      </c>
      <c r="G140">
        <v>5.9343916872217482E-17</v>
      </c>
      <c r="H140">
        <v>0.77879155794526744</v>
      </c>
    </row>
    <row r="141" spans="2:8" x14ac:dyDescent="0.25">
      <c r="C141">
        <v>0</v>
      </c>
      <c r="D141">
        <v>3.7416573867739418</v>
      </c>
      <c r="E141">
        <v>4.5434411125112142</v>
      </c>
      <c r="F141">
        <v>0.3779644730092272</v>
      </c>
      <c r="G141">
        <v>-0.26726124191242429</v>
      </c>
      <c r="H141">
        <v>-0.60179347659407056</v>
      </c>
    </row>
    <row r="142" spans="2:8" x14ac:dyDescent="0.25">
      <c r="C142">
        <v>0</v>
      </c>
      <c r="D142">
        <v>0</v>
      </c>
      <c r="E142">
        <v>2.0177781274036479</v>
      </c>
      <c r="F142">
        <v>-0.3779644730092272</v>
      </c>
      <c r="G142">
        <v>0.80178372573727308</v>
      </c>
      <c r="H142">
        <v>-0.10619884881071814</v>
      </c>
    </row>
    <row r="143" spans="2:8" x14ac:dyDescent="0.25">
      <c r="C143">
        <v>0</v>
      </c>
      <c r="D143">
        <v>0</v>
      </c>
      <c r="E143">
        <v>0</v>
      </c>
      <c r="F143">
        <v>0.7559289460184544</v>
      </c>
      <c r="G143">
        <v>0.53452248382484879</v>
      </c>
      <c r="H143">
        <v>-0.14159846508095744</v>
      </c>
    </row>
    <row r="147" spans="2:5" ht="18.75" x14ac:dyDescent="0.3">
      <c r="B147" s="2" t="s">
        <v>30</v>
      </c>
    </row>
    <row r="149" spans="2:5" x14ac:dyDescent="0.25">
      <c r="C149" s="5" cm="1">
        <f t="array" ref="C149:E151">MINVERSE(F140:H142)</f>
        <v>1.4578629673213053</v>
      </c>
      <c r="D149" s="5">
        <v>1.7818325156149282</v>
      </c>
      <c r="E149" s="5">
        <v>0.59394417187164239</v>
      </c>
    </row>
    <row r="150" spans="2:5" x14ac:dyDescent="0.25">
      <c r="C150" s="5">
        <v>0.76360354832121247</v>
      </c>
      <c r="D150" s="5">
        <v>0.72542337090515185</v>
      </c>
      <c r="E150" s="5">
        <v>1.4890269192263643</v>
      </c>
    </row>
    <row r="151" spans="2:5" x14ac:dyDescent="0.25">
      <c r="C151" s="5">
        <v>0.5765080364010422</v>
      </c>
      <c r="D151" s="5">
        <v>-0.8647620546015633</v>
      </c>
      <c r="E151" s="5">
        <v>-0.28825401820052104</v>
      </c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D2535-2701-4456-A348-2D77E76A422B}">
  <sheetPr codeName="Sheet2"/>
  <dimension ref="B2"/>
  <sheetViews>
    <sheetView tabSelected="1" workbookViewId="0">
      <selection activeCell="C13" sqref="C13"/>
    </sheetView>
  </sheetViews>
  <sheetFormatPr defaultRowHeight="15" x14ac:dyDescent="0.25"/>
  <sheetData>
    <row r="2" spans="2:2" ht="21" x14ac:dyDescent="0.35">
      <c r="B2" s="6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HowTo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VBALIKEMATLAB</dc:title>
  <dc:creator>Seong, Yeol</dc:creator>
  <cp:keywords>Linear Algebra, Version29</cp:keywords>
  <cp:lastModifiedBy>Yeol Seong</cp:lastModifiedBy>
  <dcterms:created xsi:type="dcterms:W3CDTF">2022-05-03T17:33:08Z</dcterms:created>
  <dcterms:modified xsi:type="dcterms:W3CDTF">2024-08-07T23:53:49Z</dcterms:modified>
  <cp:category>Matrix Operation</cp:category>
</cp:coreProperties>
</file>